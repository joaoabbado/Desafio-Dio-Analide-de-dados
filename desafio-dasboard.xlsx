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a\OneDrive\Desktop\"/>
    </mc:Choice>
  </mc:AlternateContent>
  <xr:revisionPtr revIDLastSave="0" documentId="13_ncr:1_{392C7B11-ABFC-4814-BF69-60EBA810F4FF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F27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<sst xmlns="http://schemas.openxmlformats.org/spreadsheetml/2006/main" count="2022" uniqueCount="324">
  <si>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</si>
  <si>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</si>
  <si>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</si>
  <si>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</si>
  <si>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</si>
  <si>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</si>
  <si>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</si>
  <si>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</si>
  <si>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</si>
  <si>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</si>
  <si>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</si>
  <si>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</si>
  <si>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</si>
  <si>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</si>
  <si>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</si>
  <si>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</si>
  <si>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</si>
  <si>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</si>
  <si>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</si>
  <si>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</si>
  <si>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</si>
  <si>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</si>
  <si>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</si>
  <si>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</si>
  <si>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</si>
  <si>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</si>
  <si>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</si>
  <si>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</si>
  <si>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</si>
  <si>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</si>
  <si>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</si>
  <si>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</si>
  <si>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</si>
  <si>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</si>
  <si>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</si>
  <si>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</si>
  <si>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</si>
  <si>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</si>
  <si>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</si>
  <si>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</si>
  <si>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</si>
  <si>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</si>
  <si>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</si>
  <si>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</si>
  <si>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</si>
  <si>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</si>
  <si>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</si>
  <si>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</si>
  <si>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</si>
  <si>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</si>
  <si>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</si>
  <si>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</si>
  <si>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</si>
  <si>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</si>
  <si>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</si>
  <si>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</si>
  <si>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</si>
  <si>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</si>
  <si>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</si>
  <si>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</si>
  <si>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</si>
  <si>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</si>
  <si>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</si>
  <si>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</si>
  <si>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</si>
  <si>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</si>
  <si>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</si>
  <si>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</si>
  <si>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</si>
  <si>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</si>
  <si>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</si>
  <si>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</si>
  <si>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</si>
  <si>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</si>
  <si>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</si>
  <si>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</si>
  <si>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</si>
  <si>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</si>
  <si>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</si>
  <si>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</si>
  <si>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</si>
  <si>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</si>
  <si>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</si>
  <si>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</si>
  <si>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</si>
  <si>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</si>
  <si>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</si>
  <si>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</si>
  <si>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</si>
  <si>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</si>
  <si>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</si>
  <si>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</si>
  <si>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</si>
  <si>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</si>
  <si>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</si>
  <si>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</si>
  <si>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</si>
  <si>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</si>
  <si>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</si>
  <si>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</si>
  <si>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</si>
  <si>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</si>
  <si>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</si>
  <si>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</si>
  <si>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</si>
  <si>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</si>
  <si>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</si>
  <si>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</si>
  <si>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</si>
  <si>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</si>
  <si>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</si>
  <si>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</si>
  <si>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</si>
  <si>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</si>
  <si>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</si>
  <si>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</si>
  <si>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</si>
  <si>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</si>
  <si>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</si>
  <si>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</si>
  <si>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</si>
  <si>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</si>
  <si>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</si>
  <si>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</si>
  <si>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</si>
  <si>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</si>
  <si>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</si>
  <si>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</si>
  <si>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</si>
  <si>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</si>
  <si>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</si>
  <si>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</si>
  <si>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</si>
  <si>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</si>
  <si>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</si>
  <si>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</si>
  <si>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</si>
  <si>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</si>
  <si>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</si>
  <si>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</si>
  <si>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</si>
  <si>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</si>
  <si>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</si>
  <si>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</si>
  <si>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</si>
  <si>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</si>
  <si>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</si>
  <si>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</si>
  <si>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</si>
  <si>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</si>
  <si>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</si>
  <si>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</si>
  <si>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</si>
  <si>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</si>
  <si>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</si>
  <si>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</si>
  <si>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</si>
  <si>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</si>
  <si>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</si>
  <si>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</si>
  <si>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</si>
  <si>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</si>
  <si>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</si>
  <si>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</si>
  <si>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</si>
  <si>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</si>
  <si>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</si>
  <si>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</si>
  <si>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</si>
  <si>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</si>
  <si>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</si>
  <si>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</si>
  <si>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</si>
  <si>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</si>
  <si>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</si>
  <si>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</si>
  <si>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</si>
  <si>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</si>
  <si>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</si>
  <si>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</si>
  <si>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</si>
  <si>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</si>
  <si>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</si>
  <si>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</si>
  <si>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</si>
  <si>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</si>
  <si>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</si>
  <si>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</si>
  <si>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</si>
  <si>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</si>
  <si>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</si>
  <si>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</si>
  <si>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</si>
  <si>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</si>
  <si>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</si>
  <si>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</si>
  <si>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</si>
  <si>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</si>
  <si>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</si>
  <si>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</si>
  <si>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</si>
  <si>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</si>
  <si>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</si>
  <si>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</si>
  <si>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</si>
  <si>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</si>
  <si>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</si>
  <si>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</si>
  <si>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</si>
  <si>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</si>
  <si>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</si>
  <si>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</si>
  <si>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</si>
  <si>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</si>
  <si>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</si>
  <si>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</si>
  <si>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</si>
  <si>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</si>
  <si>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</si>
  <si>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</si>
  <si>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</si>
  <si>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</si>
  <si>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</si>
  <si>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</si>
  <si>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</si>
  <si>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</si>
  <si>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</si>
  <si>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</si>
  <si>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</si>
  <si>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</si>
  <si>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</si>
  <si>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</si>
  <si>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</si>
  <si>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</si>
  <si>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</si>
  <si>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</si>
  <si>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</si>
  <si>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</si>
  <si>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</si>
  <si>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</si>
  <si>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</si>
  <si>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</si>
  <si>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</si>
  <si>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</si>
  <si>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</si>
  <si>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</si>
  <si>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</si>
  <si>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</si>
  <si>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</si>
  <si>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</si>
  <si>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</si>
  <si>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</si>
  <si>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</si>
  <si>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</si>
  <si>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</si>
  <si>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</si>
  <si>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</si>
  <si>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</si>
  <si>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</si>
  <si>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</si>
  <si>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</si>
  <si>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</si>
  <si>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</si>
  <si>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</si>
  <si>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</si>
  <si>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</si>
  <si>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</si>
  <si>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</si>
  <si>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</si>
  <si>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</si>
  <si>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</si>
  <si>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</si>
  <si>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</si>
  <si>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</si>
  <si>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</si>
  <si>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</si>
  <si>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</si>
  <si>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</si>
  <si>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</si>
  <si>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</si>
  <si>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</si>
  <si>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</si>
  <si>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</si>
  <si>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</si>
  <si>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</si>
  <si>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</si>
  <si>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</si>
  <si>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</si>
  <si>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</si>
  <si>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</si>
  <si>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</si>
  <si>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</si>
  <si>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</si>
  <si>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</si>
  <si>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</si>
  <si>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</si>
  <si>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</si>
  <si>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</si>
  <si>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</si>
  <si>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</si>
  <si>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</si>
  <si>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</si>
  <si>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</si>
  <si>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</si>
  <si>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</si>
  <si>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</si>
  <si>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</si>
  <si>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</si>
  <si>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</si>
  <si>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</si>
  <si>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</si>
  <si>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</si>
  <si>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</si>
  <si>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Informação: é uma pergunta de negocio respondida atraves de algiuna analide de dados especifica</t>
  </si>
  <si>
    <t>pergunta de negocio 1: Qual faturamento total de vendas de planos anuais (contendo todas assinaturas agregadas)</t>
  </si>
  <si>
    <t>Rótulos de Linha</t>
  </si>
  <si>
    <t>Total Geral</t>
  </si>
  <si>
    <t>Pergunta de negocio 2: Qual faturamento toal de vendas de planos anuais,  separado por auto renovação e por não auto renovação</t>
  </si>
  <si>
    <t>Soma de Total Value</t>
  </si>
  <si>
    <t>Pergunta de negocio 3 e o total de vendas de Assinatura do EA play</t>
  </si>
  <si>
    <t>Soma de EA Play Season Pass</t>
  </si>
  <si>
    <t>Pergunta de négocio 4- total de vendas de assinaturas do minecraft season pass</t>
  </si>
  <si>
    <t>Soma de Minecraft Season Pass Price</t>
  </si>
  <si>
    <t xml:space="preserve">     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</si>
</sst>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44" fontId="0" fillId="0" borderId="0" xfId="2" applyFont="1"/>
    <xf numFmtId="0" fontId="4" fillId="0" borderId="2" xfId="1" applyFont="1" applyBorder="1"/>
    <xf numFmtId="0" fontId="4" fillId="0" borderId="2" xfId="1" applyFont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  <name val="Arial"/>
        <family val="2"/>
        <scheme val="none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Estilo de Segmentação de Dados 1" pivot="0" table="0" count="0" xr9:uid="{B1738976-C5EE-4C86-8A97-C589F09A9C69}"/>
    <tableStyle name="Estilo de Segmentação de Dados 2" pivot="0" table="0" count="1" xr9:uid="{865054ED-578B-48B7-868C-7B81C8A2E542}"/>
    <tableStyle name="Estilo de Segmentação de Dados 3" pivot="0" table="0" count="2" xr9:uid="{366F8450-BA78-4591-A127-C0B43066D259}"/>
    <tableStyle name="SlicerStyleLight3 2" pivot="0" table="0" count="10" xr9:uid="{7516CF74-235A-4BE0-8241-8F47611E6B6D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1">
        <dxf>
          <font>
            <color rgb="FF000000"/>
          </font>
          <fill>
            <patternFill patternType="solid">
              <fgColor auto="1"/>
              <bgColor theme="9" tint="-0.49998474074526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6" tint="0.79998168889431442"/>
          </font>
        </dxf>
        <dxf>
          <font>
            <color theme="6" tint="-0.24994659260841701"/>
          </font>
        </dxf>
        <dxf>
          <font>
            <color theme="9" tint="0.59996337778862885"/>
            <name val="Abadi"/>
            <family val="2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selectedItemWithData" dxfId="10"/>
          </x14:slicerStyleElements>
        </x14:slicerStyle>
        <x14:slicerStyle name="Estilo de Segmentação de Dados 3">
          <x14:slicerStyleElements>
            <x14:slicerStyleElement type="selectedItemWithData" dxfId="8"/>
            <x14:slicerStyleElement type="hoveredSelectedItemWithNoData" dxfId="9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[805d54f9-6d53-4246-bed7-4aa2da615923.xlsx]C̳álculos!tbl_annual_total</c:name>
    <c:fmtId val="11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9.7781947055894554E-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6.1148821394843202E-3"/>
              <c:y val="-3.66687984616431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991197550409042E-2"/>
          <c:y val="4.0335678307807134E-2"/>
          <c:w val="0.96088961466524958"/>
          <c:h val="0.919328643384385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7781947055894554E-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1C-4C58-B733-83C5A913FE8B}"/>
                </c:ext>
              </c:extLst>
            </c:dLbl>
            <c:dLbl>
              <c:idx val="1"/>
              <c:layout>
                <c:manualLayout>
                  <c:x val="6.1148821394843202E-3"/>
                  <c:y val="-3.666879846164318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1C-4C58-B733-83C5A913F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C-4C58-B733-83C5A913FE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4418000"/>
        <c:axId val="1014419440"/>
      </c:barChart>
      <c:catAx>
        <c:axId val="101441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4419440"/>
        <c:crosses val="autoZero"/>
        <c:auto val="1"/>
        <c:lblAlgn val="ctr"/>
        <c:lblOffset val="100"/>
        <c:noMultiLvlLbl val="0"/>
      </c:catAx>
      <c:valAx>
        <c:axId val="10144194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441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104775</xdr:colOff>
      <xdr:row>12</xdr:row>
      <xdr:rowOff>142875</xdr:rowOff>
    </xdr:from>
    <xdr:to>
      <xdr:col>10</xdr:col>
      <xdr:colOff>190500</xdr:colOff>
      <xdr:row>16</xdr:row>
      <xdr:rowOff>66675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219700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95247</xdr:colOff>
      <xdr:row>0</xdr:row>
      <xdr:rowOff>0</xdr:rowOff>
    </xdr:from>
    <xdr:to>
      <xdr:col>2</xdr:col>
      <xdr:colOff>500061</xdr:colOff>
      <xdr:row>2</xdr:row>
      <xdr:rowOff>427062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C061BA-2112-4C17-AA3B-A5AE3BF0A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7" r="72702"/>
        <a:stretch>
          <a:fillRect/>
        </a:stretch>
      </xdr:blipFill>
      <xdr:spPr>
        <a:xfrm>
          <a:off x="2024060" y="0"/>
          <a:ext cx="642939" cy="10580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178595</xdr:rowOff>
    </xdr:from>
    <xdr:to>
      <xdr:col>0</xdr:col>
      <xdr:colOff>1905000</xdr:colOff>
      <xdr:row>19</xdr:row>
      <xdr:rowOff>107156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A6E6992-C893-419E-945E-588ABB67CC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02595"/>
              <a:ext cx="1905000" cy="2443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309561</xdr:colOff>
      <xdr:row>6</xdr:row>
      <xdr:rowOff>28575</xdr:rowOff>
    </xdr:from>
    <xdr:to>
      <xdr:col>11</xdr:col>
      <xdr:colOff>404811</xdr:colOff>
      <xdr:row>14</xdr:row>
      <xdr:rowOff>88106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E4B8C88-5000-6781-15F0-0EA1351EE90E}"/>
            </a:ext>
          </a:extLst>
        </xdr:cNvPr>
        <xdr:cNvGrpSpPr/>
      </xdr:nvGrpSpPr>
      <xdr:grpSpPr>
        <a:xfrm>
          <a:off x="2481261" y="1428750"/>
          <a:ext cx="5581650" cy="1745456"/>
          <a:chOff x="2643187" y="1500188"/>
          <a:chExt cx="5560218" cy="173831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9AD97A9-7471-CD86-9E71-E10D2429FC30}"/>
              </a:ext>
            </a:extLst>
          </xdr:cNvPr>
          <xdr:cNvSpPr/>
        </xdr:nvSpPr>
        <xdr:spPr>
          <a:xfrm>
            <a:off x="2655093" y="1500188"/>
            <a:ext cx="5536406" cy="1738312"/>
          </a:xfrm>
          <a:prstGeom prst="roundRect">
            <a:avLst>
              <a:gd name="adj" fmla="val 1201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1614FDA-4B92-41CF-A675-BA075A83F27B}"/>
              </a:ext>
            </a:extLst>
          </xdr:cNvPr>
          <xdr:cNvSpPr/>
        </xdr:nvSpPr>
        <xdr:spPr>
          <a:xfrm>
            <a:off x="4560093" y="2018111"/>
            <a:ext cx="3381375" cy="1133474"/>
          </a:xfrm>
          <a:prstGeom prst="roundRect">
            <a:avLst>
              <a:gd name="adj" fmla="val 1201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D7DE7EE-9441-42B6-B7E7-0E369E930559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en-US" sz="36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EEA166B-3CB6-4992-96EE-AE52BE8436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3719" y="1975248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8D78CBA-047B-73CA-0983-FA3FDA31AE19}"/>
              </a:ext>
            </a:extLst>
          </xdr:cNvPr>
          <xdr:cNvSpPr/>
        </xdr:nvSpPr>
        <xdr:spPr>
          <a:xfrm>
            <a:off x="2643187" y="1500188"/>
            <a:ext cx="5560218" cy="5000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200025</xdr:colOff>
      <xdr:row>6</xdr:row>
      <xdr:rowOff>28575</xdr:rowOff>
    </xdr:from>
    <xdr:to>
      <xdr:col>22</xdr:col>
      <xdr:colOff>295274</xdr:colOff>
      <xdr:row>14</xdr:row>
      <xdr:rowOff>88106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24FB915-A8E8-2AEF-A109-84E7ECCE4B0C}"/>
            </a:ext>
          </a:extLst>
        </xdr:cNvPr>
        <xdr:cNvGrpSpPr/>
      </xdr:nvGrpSpPr>
      <xdr:grpSpPr>
        <a:xfrm>
          <a:off x="8905875" y="1428750"/>
          <a:ext cx="5581649" cy="1745456"/>
          <a:chOff x="8748712" y="1366838"/>
          <a:chExt cx="5560218" cy="173831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C1AA23F7-836A-4212-8CF8-C3714249D2DB}"/>
              </a:ext>
            </a:extLst>
          </xdr:cNvPr>
          <xdr:cNvGrpSpPr/>
        </xdr:nvGrpSpPr>
        <xdr:grpSpPr>
          <a:xfrm>
            <a:off x="8748712" y="1366838"/>
            <a:ext cx="5560218" cy="1738312"/>
            <a:chOff x="2643187" y="1500188"/>
            <a:chExt cx="5560218" cy="1738312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2997D108-25F8-A78A-F5FC-E511C9E8569D}"/>
                </a:ext>
              </a:extLst>
            </xdr:cNvPr>
            <xdr:cNvSpPr/>
          </xdr:nvSpPr>
          <xdr:spPr>
            <a:xfrm>
              <a:off x="2655093" y="1500188"/>
              <a:ext cx="5536406" cy="1738312"/>
            </a:xfrm>
            <a:prstGeom prst="roundRect">
              <a:avLst>
                <a:gd name="adj" fmla="val 1201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/>
              <a:endParaRPr lang="pt-BR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̳álculos!F39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2E0458C-546C-5F73-582A-4E2319010998}"/>
                </a:ext>
              </a:extLst>
            </xdr:cNvPr>
            <xdr:cNvSpPr/>
          </xdr:nvSpPr>
          <xdr:spPr>
            <a:xfrm>
              <a:off x="4595812" y="2018111"/>
              <a:ext cx="3381375" cy="1133474"/>
            </a:xfrm>
            <a:prstGeom prst="roundRect">
              <a:avLst>
                <a:gd name="adj" fmla="val 1201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997B7ACB-7476-4019-9C79-991DB336F9D9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R$ 940,00 </a:t>
              </a:fld>
              <a:endParaRPr lang="en-US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86A7167A-4E10-2DB5-8826-CB37581CFA25}"/>
                </a:ext>
              </a:extLst>
            </xdr:cNvPr>
            <xdr:cNvSpPr/>
          </xdr:nvSpPr>
          <xdr:spPr>
            <a:xfrm>
              <a:off x="2643187" y="1500188"/>
              <a:ext cx="5560218" cy="5000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pt-BR" sz="16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 Minecraft Season</a:t>
              </a:r>
              <a:r>
                <a:rPr lang="pt-BR" sz="1600" b="1" i="0" u="none" strike="noStrike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Pass</a:t>
              </a:r>
              <a:endParaRPr lang="pt-BR" sz="1600" b="1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C6AA0C95-ADFF-450F-9883-18DD145BC19F}"/>
              </a:ext>
            </a:extLst>
          </xdr:cNvPr>
          <xdr:cNvGrpSpPr/>
        </xdr:nvGrpSpPr>
        <xdr:grpSpPr>
          <a:xfrm>
            <a:off x="9310688" y="2202656"/>
            <a:ext cx="1107281" cy="464344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D156824A-6C6F-475C-4F81-60D9A1FE35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820E5D53-ECF1-CACB-5768-152C985B74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295273</xdr:colOff>
      <xdr:row>19</xdr:row>
      <xdr:rowOff>121444</xdr:rowOff>
    </xdr:from>
    <xdr:to>
      <xdr:col>22</xdr:col>
      <xdr:colOff>357187</xdr:colOff>
      <xdr:row>41</xdr:row>
      <xdr:rowOff>83343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143A8C3-2299-D03D-6CE5-F94AB9BEC6B7}"/>
            </a:ext>
          </a:extLst>
        </xdr:cNvPr>
        <xdr:cNvGrpSpPr/>
      </xdr:nvGrpSpPr>
      <xdr:grpSpPr>
        <a:xfrm>
          <a:off x="2466973" y="4160044"/>
          <a:ext cx="12082464" cy="4152899"/>
          <a:chOff x="2462211" y="4157663"/>
          <a:chExt cx="13194508" cy="422672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E1A608C-EC05-FBC9-9603-8FE55B1A63D2}"/>
              </a:ext>
            </a:extLst>
          </xdr:cNvPr>
          <xdr:cNvGrpSpPr/>
        </xdr:nvGrpSpPr>
        <xdr:grpSpPr>
          <a:xfrm>
            <a:off x="2464591" y="4167187"/>
            <a:ext cx="13192127" cy="4217204"/>
            <a:chOff x="3523550" y="1007163"/>
            <a:chExt cx="6420409" cy="362437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1D1435D-0F22-5393-AAB5-018870C3B21F}"/>
                </a:ext>
              </a:extLst>
            </xdr:cNvPr>
            <xdr:cNvSpPr/>
          </xdr:nvSpPr>
          <xdr:spPr>
            <a:xfrm>
              <a:off x="3523550" y="1007163"/>
              <a:ext cx="6420409" cy="3468825"/>
            </a:xfrm>
            <a:prstGeom prst="roundRect">
              <a:avLst>
                <a:gd name="adj" fmla="val 625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77A96F8-05B1-4275-BE3A-5740AE819421}"/>
                </a:ext>
              </a:extLst>
            </xdr:cNvPr>
            <xdr:cNvGraphicFramePr>
              <a:graphicFrameLocks/>
            </xdr:cNvGraphicFramePr>
          </xdr:nvGraphicFramePr>
          <xdr:xfrm>
            <a:off x="3526912" y="1654971"/>
            <a:ext cx="6100114" cy="2976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9B4AF7A2-6FCC-4EBF-B398-901EDBC604DE}"/>
              </a:ext>
            </a:extLst>
          </xdr:cNvPr>
          <xdr:cNvSpPr/>
        </xdr:nvSpPr>
        <xdr:spPr>
          <a:xfrm>
            <a:off x="2462211" y="4157663"/>
            <a:ext cx="13194508" cy="5000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559593</xdr:colOff>
      <xdr:row>1</xdr:row>
      <xdr:rowOff>95252</xdr:rowOff>
    </xdr:from>
    <xdr:to>
      <xdr:col>0</xdr:col>
      <xdr:colOff>1297781</xdr:colOff>
      <xdr:row>2</xdr:row>
      <xdr:rowOff>321469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B902E68-CCEC-493D-92CB-1EB51684C534}"/>
            </a:ext>
          </a:extLst>
        </xdr:cNvPr>
        <xdr:cNvSpPr/>
      </xdr:nvSpPr>
      <xdr:spPr>
        <a:xfrm>
          <a:off x="559593" y="285752"/>
          <a:ext cx="738188" cy="66674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190500</xdr:colOff>
      <xdr:row>3</xdr:row>
      <xdr:rowOff>95249</xdr:rowOff>
    </xdr:from>
    <xdr:to>
      <xdr:col>0</xdr:col>
      <xdr:colOff>1750219</xdr:colOff>
      <xdr:row>6</xdr:row>
      <xdr:rowOff>59531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7DA368B5-D648-6365-8981-92A9FDB066A2}"/>
            </a:ext>
          </a:extLst>
        </xdr:cNvPr>
        <xdr:cNvSpPr/>
      </xdr:nvSpPr>
      <xdr:spPr>
        <a:xfrm>
          <a:off x="190500" y="1166812"/>
          <a:ext cx="1559719" cy="2976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/>
            <a:t>&gt;Bem </a:t>
          </a:r>
          <a:r>
            <a:rPr lang="pt-BR" sz="1200" b="1"/>
            <a:t>Vindo</a:t>
          </a:r>
          <a:r>
            <a:rPr lang="pt-BR" sz="1200"/>
            <a:t>, </a:t>
          </a:r>
          <a:r>
            <a:rPr lang="pt-BR" sz="1200" b="1"/>
            <a:t>Felippe</a:t>
          </a:r>
        </a:p>
      </xdr:txBody>
    </xdr:sp>
    <xdr:clientData/>
  </xdr:twoCellAnchor>
  <xdr:twoCellAnchor editAs="absolute">
    <xdr:from>
      <xdr:col>1</xdr:col>
      <xdr:colOff>76199</xdr:colOff>
      <xdr:row>2</xdr:row>
      <xdr:rowOff>428625</xdr:rowOff>
    </xdr:from>
    <xdr:to>
      <xdr:col>8</xdr:col>
      <xdr:colOff>76199</xdr:colOff>
      <xdr:row>5</xdr:row>
      <xdr:rowOff>88107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57C0BF10-D4F4-443F-A3F0-70531324A14B}"/>
            </a:ext>
          </a:extLst>
        </xdr:cNvPr>
        <xdr:cNvSpPr/>
      </xdr:nvSpPr>
      <xdr:spPr>
        <a:xfrm>
          <a:off x="2009774" y="1057275"/>
          <a:ext cx="3895725" cy="29765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0">
              <a:solidFill>
                <a:schemeClr val="tx1">
                  <a:lumMod val="65000"/>
                  <a:lumOff val="35000"/>
                </a:schemeClr>
              </a:solidFill>
            </a:rPr>
            <a:t>Periodo de apuração: 01/01/2024</a:t>
          </a:r>
          <a:r>
            <a:rPr lang="pt-BR" sz="1200" b="0" baseline="0">
              <a:solidFill>
                <a:schemeClr val="tx1">
                  <a:lumMod val="65000"/>
                  <a:lumOff val="35000"/>
                </a:schemeClr>
              </a:solidFill>
            </a:rPr>
            <a:t> - 31/12/2024</a:t>
          </a:r>
          <a:endParaRPr lang="pt-BR" sz="12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Gabriel Abbado de Souza" refreshedDate="46026.69466458333" createdVersion="8" refreshedVersion="8" minRefreshableVersion="3" recordCount="295" xr:uid="{FCEC5A69-51D2-4324-B9EF-BD5120BC5FB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47395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24A1C-C8C1-43C0-9A35-964200C5F98D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C35:D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8D5E6-1043-4AB4-B802-55EB9EEB84FE}" name="tabela_dinamica_eapllay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C23:D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E6172-BCA5-4C53-9531-738B4CA52ACB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C12:D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95F34C4-071A-4FF4-8AB5-0FE8D2C9E720}" sourceName="Subscription Type">
  <pivotTables>
    <pivotTable tabId="3" name="tbl_annual_total"/>
    <pivotTable tabId="3" name="tabela_dinamica_eapllay"/>
    <pivotTable tabId="3" name="Tabela dinâmica2"/>
  </pivotTables>
  <data>
    <tabular pivotCacheId="5473950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99A5EC1-C6E2-47BD-BEA2-381EF06280D5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11"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F40"/>
  <sheetViews>
    <sheetView showGridLines="0" workbookViewId="0">
      <selection activeCell="B6" sqref="B6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9" bestFit="1" customWidth="1"/>
    <col min="6" max="6" width="12.140625" bestFit="1" customWidth="1"/>
    <col min="7" max="7" width="10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3:4" x14ac:dyDescent="0.25">
      <c r="C4" t="s">
        <v>313</v>
      </c>
    </row>
    <row r="6" spans="3:4" x14ac:dyDescent="0.25">
      <c r="C6" t="s">
        <v>314</v>
      </c>
    </row>
    <row r="8" spans="3:4" x14ac:dyDescent="0.25">
      <c r="C8" t="s">
        <v>317</v>
      </c>
    </row>
    <row r="10" spans="3:4" x14ac:dyDescent="0.25">
      <c r="C10" s="12" t="s">
        <v>16</v>
      </c>
      <c r="D10" t="s">
        <v>24</v>
      </c>
    </row>
    <row r="12" spans="3:4" x14ac:dyDescent="0.25">
      <c r="C12" s="12" t="s">
        <v>315</v>
      </c>
      <c r="D12" t="s">
        <v>318</v>
      </c>
    </row>
    <row r="13" spans="3:4" x14ac:dyDescent="0.25">
      <c r="C13" s="13" t="s">
        <v>23</v>
      </c>
      <c r="D13" s="14">
        <v>217</v>
      </c>
    </row>
    <row r="14" spans="3:4" x14ac:dyDescent="0.25">
      <c r="C14" s="13" t="s">
        <v>19</v>
      </c>
      <c r="D14" s="14">
        <v>1537</v>
      </c>
    </row>
    <row r="15" spans="3:4" x14ac:dyDescent="0.25">
      <c r="C15" s="13" t="s">
        <v>316</v>
      </c>
      <c r="D15" s="14">
        <v>1754</v>
      </c>
    </row>
    <row r="19" spans="3:6" x14ac:dyDescent="0.25">
      <c r="C19" s="13" t="s">
        <v>319</v>
      </c>
    </row>
    <row r="20" spans="3:6" x14ac:dyDescent="0.25">
      <c r="C20" s="13"/>
    </row>
    <row r="21" spans="3:6" x14ac:dyDescent="0.25">
      <c r="C21" s="12" t="s">
        <v>16</v>
      </c>
      <c r="D21" t="s">
        <v>24</v>
      </c>
    </row>
    <row r="23" spans="3:6" x14ac:dyDescent="0.25">
      <c r="C23" s="12" t="s">
        <v>315</v>
      </c>
      <c r="D23" t="s">
        <v>320</v>
      </c>
    </row>
    <row r="24" spans="3:6" x14ac:dyDescent="0.25">
      <c r="C24" s="13" t="s">
        <v>22</v>
      </c>
      <c r="D24" s="15">
        <v>0</v>
      </c>
    </row>
    <row r="25" spans="3:6" x14ac:dyDescent="0.25">
      <c r="C25" s="13" t="s">
        <v>26</v>
      </c>
      <c r="D25" s="15">
        <v>0</v>
      </c>
    </row>
    <row r="26" spans="3:6" x14ac:dyDescent="0.25">
      <c r="C26" s="13" t="s">
        <v>18</v>
      </c>
      <c r="D26" s="15">
        <v>600</v>
      </c>
    </row>
    <row r="27" spans="3:6" x14ac:dyDescent="0.25">
      <c r="C27" s="13" t="s">
        <v>316</v>
      </c>
      <c r="D27" s="15">
        <v>600</v>
      </c>
      <c r="F27" s="16">
        <f>GETPIVOTDATA("EA Play Season Pass
Price",$C$23)</f>
        <v>600</v>
      </c>
    </row>
    <row r="30" spans="3:6" x14ac:dyDescent="0.25">
      <c r="C30" s="13" t="s">
        <v>321</v>
      </c>
    </row>
    <row r="33" spans="3:6" x14ac:dyDescent="0.25">
      <c r="C33" s="12" t="s">
        <v>16</v>
      </c>
      <c r="D33" t="s">
        <v>24</v>
      </c>
    </row>
    <row r="35" spans="3:6" x14ac:dyDescent="0.25">
      <c r="C35" s="12" t="s">
        <v>315</v>
      </c>
      <c r="D35" t="s">
        <v>322</v>
      </c>
    </row>
    <row r="36" spans="3:6" x14ac:dyDescent="0.25">
      <c r="C36" s="13" t="s">
        <v>22</v>
      </c>
      <c r="D36" s="14">
        <v>0</v>
      </c>
    </row>
    <row r="37" spans="3:6" x14ac:dyDescent="0.25">
      <c r="C37" s="13" t="s">
        <v>26</v>
      </c>
      <c r="D37" s="14">
        <v>540</v>
      </c>
    </row>
    <row r="38" spans="3:6" x14ac:dyDescent="0.25">
      <c r="C38" s="13" t="s">
        <v>18</v>
      </c>
      <c r="D38" s="14">
        <v>400</v>
      </c>
    </row>
    <row r="39" spans="3:6" x14ac:dyDescent="0.25">
      <c r="C39" s="13" t="s">
        <v>316</v>
      </c>
      <c r="D39" s="14">
        <v>940</v>
      </c>
      <c r="F39" s="17">
        <f>GETPIVOTDATA("Minecraft Season Pass Price",$C$35)</f>
        <v>940</v>
      </c>
    </row>
    <row r="40" spans="3:6" x14ac:dyDescent="0.25">
      <c r="F40" s="17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207"/>
  <sheetViews>
    <sheetView showGridLines="0" showRowColHeaders="0" tabSelected="1" zoomScaleNormal="100" workbookViewId="0">
      <selection activeCell="I5" sqref="I5"/>
    </sheetView>
  </sheetViews>
  <sheetFormatPr defaultRowHeight="15" x14ac:dyDescent="0.25"/>
  <cols>
    <col min="1" max="1" width="29" style="4" customWidth="1"/>
    <col min="2" max="2" width="3.5703125" customWidth="1"/>
    <col min="12" max="12" width="6.5703125" customWidth="1"/>
  </cols>
  <sheetData>
    <row r="2" spans="1:24" ht="34.5" customHeight="1" thickBot="1" x14ac:dyDescent="0.5">
      <c r="C2" s="19" t="s">
        <v>323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34.5" customHeight="1" thickTop="1" x14ac:dyDescent="0.25"/>
    <row r="4" spans="1:24" s="7" customFormat="1" ht="8.25" customHeight="1" x14ac:dyDescent="0.25">
      <c r="A4" s="4"/>
    </row>
    <row r="5" spans="1:24" s="7" customFormat="1" ht="7.5" customHeight="1" x14ac:dyDescent="0.25">
      <c r="A5" s="4"/>
    </row>
    <row r="6" spans="1:24" s="7" customFormat="1" ht="10.5" customHeight="1" x14ac:dyDescent="0.25">
      <c r="A6" s="4"/>
    </row>
    <row r="7" spans="1:24" s="7" customFormat="1" ht="9.75" customHeight="1" x14ac:dyDescent="0.25">
      <c r="A7" s="4"/>
    </row>
    <row r="8" spans="1:24" s="7" customFormat="1" ht="33" customHeight="1" x14ac:dyDescent="0.25">
      <c r="A8" s="4"/>
    </row>
    <row r="9" spans="1:24" s="7" customFormat="1" x14ac:dyDescent="0.25">
      <c r="A9" s="4"/>
    </row>
    <row r="10" spans="1:24" s="7" customFormat="1" x14ac:dyDescent="0.25">
      <c r="A10" s="4"/>
    </row>
    <row r="11" spans="1:24" s="7" customFormat="1" x14ac:dyDescent="0.25">
      <c r="A11" s="4"/>
    </row>
    <row r="12" spans="1:24" s="7" customFormat="1" x14ac:dyDescent="0.25">
      <c r="A12" s="4"/>
    </row>
    <row r="13" spans="1:24" s="7" customFormat="1" x14ac:dyDescent="0.25">
      <c r="A13" s="4"/>
    </row>
    <row r="14" spans="1:24" s="7" customFormat="1" x14ac:dyDescent="0.25">
      <c r="A14" s="4"/>
    </row>
    <row r="15" spans="1:24" s="7" customFormat="1" x14ac:dyDescent="0.25">
      <c r="A15" s="4"/>
    </row>
    <row r="16" spans="1:24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Gabriel Abbado de Souza</cp:lastModifiedBy>
  <dcterms:created xsi:type="dcterms:W3CDTF">2024-12-19T13:13:10Z</dcterms:created>
  <dcterms:modified xsi:type="dcterms:W3CDTF">2026-01-06T03:45:04Z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